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84" yWindow="36" windowWidth="16260" windowHeight="5856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N50" i="1" l="1"/>
  <c r="N51" i="1"/>
  <c r="N52" i="1"/>
  <c r="N53" i="1"/>
  <c r="N54" i="1"/>
  <c r="N55" i="1"/>
  <c r="N56" i="1"/>
  <c r="N49" i="1"/>
</calcChain>
</file>

<file path=xl/sharedStrings.xml><?xml version="1.0" encoding="utf-8"?>
<sst xmlns="http://schemas.openxmlformats.org/spreadsheetml/2006/main" count="304" uniqueCount="111">
  <si>
    <t>Match . No</t>
  </si>
  <si>
    <t>Innings</t>
  </si>
  <si>
    <t>Team</t>
  </si>
  <si>
    <t>Player Name</t>
  </si>
  <si>
    <t>Ball Count</t>
  </si>
  <si>
    <t>Posititon</t>
  </si>
  <si>
    <t>Pick</t>
  </si>
  <si>
    <t>Throw</t>
  </si>
  <si>
    <t>OverCount</t>
  </si>
  <si>
    <t>Venue</t>
  </si>
  <si>
    <t>Stadium</t>
  </si>
  <si>
    <t>India</t>
  </si>
  <si>
    <t>Bristol,UK</t>
  </si>
  <si>
    <t>Seat Unique Stadium</t>
  </si>
  <si>
    <t>mid on</t>
  </si>
  <si>
    <t>y</t>
  </si>
  <si>
    <t>wk</t>
  </si>
  <si>
    <t>n</t>
  </si>
  <si>
    <t>fly slip</t>
  </si>
  <si>
    <t>silly point</t>
  </si>
  <si>
    <t>mid wicket</t>
  </si>
  <si>
    <t>short leg</t>
  </si>
  <si>
    <t>mid off</t>
  </si>
  <si>
    <t>axar patel</t>
  </si>
  <si>
    <t>square leg</t>
  </si>
  <si>
    <t>down leg</t>
  </si>
  <si>
    <t>Mid Wicket</t>
  </si>
  <si>
    <t>Deep Point</t>
  </si>
  <si>
    <t>Deep Fine</t>
  </si>
  <si>
    <t>backward point</t>
  </si>
  <si>
    <t>Deep Fine leg</t>
  </si>
  <si>
    <t>Prince Yadav</t>
  </si>
  <si>
    <t>Runs</t>
  </si>
  <si>
    <t>Clean Picks(CP)</t>
  </si>
  <si>
    <t>Good Throws(GT)</t>
  </si>
  <si>
    <t>Catches©</t>
  </si>
  <si>
    <t>Dropped Catches</t>
  </si>
  <si>
    <t>Stumpings(S)</t>
  </si>
  <si>
    <t>Run Outs(RO)</t>
  </si>
  <si>
    <t>Missed Run Outs</t>
  </si>
  <si>
    <t>Direct Hits(DH)</t>
  </si>
  <si>
    <t>Runs Saved</t>
  </si>
  <si>
    <t>Performance Score(PS)</t>
  </si>
  <si>
    <t>Vaibhav Suryavanshi</t>
  </si>
  <si>
    <t>Shivam Dube</t>
  </si>
  <si>
    <t>Washington Sunder</t>
  </si>
  <si>
    <t>Ishan Kishan</t>
  </si>
  <si>
    <t>Tilak Verma</t>
  </si>
  <si>
    <t>Abhishek Verma</t>
  </si>
  <si>
    <t>Axar Patel</t>
  </si>
  <si>
    <r>
      <t xml:space="preserve">Where </t>
    </r>
    <r>
      <rPr>
        <i/>
        <sz val="13"/>
        <color rgb="FF0D0D0D"/>
        <rFont val="Arial"/>
        <family val="2"/>
      </rPr>
      <t>W</t>
    </r>
    <r>
      <rPr>
        <sz val="10"/>
        <color rgb="FF0D0D0D"/>
        <rFont val="Quattrocento Sans"/>
      </rPr>
      <t xml:space="preserve"> represents the weight assigned to each action, and the metrics are:</t>
    </r>
  </si>
  <si>
    <t>CP: Clean Picks is worth 1 point.</t>
  </si>
  <si>
    <t>GT: Good Throws is worth 1 point.</t>
  </si>
  <si>
    <t>C: Catches is worth 3 points.</t>
  </si>
  <si>
    <t>DC: Dropped Catches subtracts 3 points.</t>
  </si>
  <si>
    <t>ST: Stumpings is worth 3 points.</t>
  </si>
  <si>
    <t>RO: Run Outs is worth 3 points.</t>
  </si>
  <si>
    <t>MRO: Missed Run Outs subtracts 2 points.</t>
  </si>
  <si>
    <t>DH: Direct Hits is worth 2 points.</t>
  </si>
  <si>
    <t>RS: Runs Saved are added to the score as is.</t>
  </si>
  <si>
    <t>Y-&gt;</t>
  </si>
  <si>
    <t>Fumble</t>
  </si>
  <si>
    <t>Bad Throw (BT)</t>
  </si>
  <si>
    <t>BT: Bad Throw subtracts 1 point</t>
  </si>
  <si>
    <t>F: Fumble subtracts 1 point</t>
  </si>
  <si>
    <t>PS=(CP×WCP​)+(GT×WGT​)+(C×WC​)−(DC×WDC​)+(ST×WST​)+(RO×WRO​)−(MRO×WMRO​)+(DH×WDH​)−(BT×WBT​)−(F×WF​)+RS</t>
  </si>
  <si>
    <t>Abhishek Verma:</t>
  </si>
  <si>
    <t>PS=(1X1)+(1X1)+(0X0)-(0X0)+(0X0)+(0X0)-(0X0)+(0X0)-(0X0)-(0X0)+0</t>
  </si>
  <si>
    <t>PS=1+1+0+0+0+0+0+0+0+0+0</t>
  </si>
  <si>
    <t>PS = 2</t>
  </si>
  <si>
    <t xml:space="preserve">Axar Patel: </t>
  </si>
  <si>
    <t>PS = (1x1)+(1x1)+(0x0)-(0x0)+(0x0)+(0x0)-(0x0)+(1x2)-(0x0)-(0x0)+0</t>
  </si>
  <si>
    <t>PS= 1+1+0-0+0+0+0-0+2-0-0+0</t>
  </si>
  <si>
    <t>PS = 4</t>
  </si>
  <si>
    <t>Prince Yadav:</t>
  </si>
  <si>
    <t>Shivam Dube:</t>
  </si>
  <si>
    <t>PS= (2x1)+(2x1)+(0x0)-(0x0)+(0x0)+(0x0)-(0x0)+(0x0)-(0x0)-(0x0)+2</t>
  </si>
  <si>
    <t>PS=2+2+0-0+0+0-0+0-0-0+2</t>
  </si>
  <si>
    <t>PS = 6</t>
  </si>
  <si>
    <t>Tilak Verma:</t>
  </si>
  <si>
    <t>PS = (5x1)+(3x1)+(0x0)-(0x0)+(0x0)+(0x0)-(0x0)+(0x0)-(0x0)-(0x0)+2</t>
  </si>
  <si>
    <t>PS= 5+3+0-0+0+0-0+0-0-0+2</t>
  </si>
  <si>
    <t>Ps = 10</t>
  </si>
  <si>
    <t>Ishan Kishan:</t>
  </si>
  <si>
    <t>PS = (3x1)+(0x1)+(1x3)-(0x0)+(0x0)-(0x0)-(0x0)+(0x0)-(0x0)-(0x0)+0</t>
  </si>
  <si>
    <t>PsS=3+0+3-0+0-0-0+0-0-0+0</t>
  </si>
  <si>
    <t>Ps = (3x1)+(2x1)+(0x0)-(0x0)+(0x0)+(0x0)-(0x0)+(0x0)-(0x0)-(0x0)+0</t>
  </si>
  <si>
    <t>PS=3+2+0-0+0+0-0+0-0-0+0</t>
  </si>
  <si>
    <t>PS = 5</t>
  </si>
  <si>
    <t>Washington Sunder:</t>
  </si>
  <si>
    <t>PS = (5x1)+(3x1)+(0x0)-(0x0)+(0x0)+(0x0)-(0x0)+(0x0)-(1x1)-(1x1)+0</t>
  </si>
  <si>
    <t>PS=5+3+0-0+0+0-0+0-1-1+0</t>
  </si>
  <si>
    <t>PS=6</t>
  </si>
  <si>
    <t>Clean Pick</t>
  </si>
  <si>
    <t>Good Throw</t>
  </si>
  <si>
    <t>N-&gt;</t>
  </si>
  <si>
    <t>Bad Throw</t>
  </si>
  <si>
    <t>C-&gt;</t>
  </si>
  <si>
    <t>DH-&gt;</t>
  </si>
  <si>
    <t>Catch</t>
  </si>
  <si>
    <t>Direct Hit</t>
  </si>
  <si>
    <t>DC-&gt;</t>
  </si>
  <si>
    <t>Dropped Catch</t>
  </si>
  <si>
    <t>Run Out</t>
  </si>
  <si>
    <t>S-&gt;</t>
  </si>
  <si>
    <t>RO-&gt;</t>
  </si>
  <si>
    <t>MR-&gt;</t>
  </si>
  <si>
    <t>Stumping</t>
  </si>
  <si>
    <t>Missed Runout</t>
  </si>
  <si>
    <t xml:space="preserve">"+" stands for runs saved "-" stands for runs consided </t>
  </si>
  <si>
    <t>9th July 2026, 4th T20I India vs England 2nd Session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</si>
</sst>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entury Gothic"/>
      <family val="2"/>
    </font>
    <font>
      <sz val="10"/>
      <color rgb="FF0D0D0D"/>
      <name val="Quattrocento Sans"/>
    </font>
    <font>
      <i/>
      <sz val="13"/>
      <color rgb="FF0D0D0D"/>
      <name val="Arial"/>
      <family val="2"/>
    </font>
    <font>
      <sz val="16"/>
      <color theme="1"/>
      <name val="Calibri"/>
      <family val="2"/>
      <scheme val="minor"/>
    </font>
    <font>
      <sz val="16"/>
      <color theme="1"/>
      <name val="Century Gothic"/>
      <family val="2"/>
    </font>
    <font>
      <sz val="18"/>
      <color theme="1"/>
      <name val="Arial Black"/>
      <family val="2"/>
    </font>
    <font>
      <sz val="18"/>
      <color rgb="FF00B0F0"/>
      <name val="Arial Black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3" fillId="2" borderId="0" applyNumberFormat="0" applyBorder="0" applyAlignment="0" applyProtection="0"/>
    <xf numFmtId="0" fontId="1" fillId="3" borderId="0" applyNumberFormat="0" applyBorder="0" applyAlignment="0" applyProtection="0"/>
  </cellStyleXfs>
  <cellXfs count="25">
    <xf numFmtId="0" fontId="0" fillId="0" borderId="0" xfId="0"/>
    <xf numFmtId="0" fontId="0" fillId="0" borderId="0" xfId="0" applyAlignment="1">
      <alignment vertical="center"/>
    </xf>
    <xf numFmtId="0" fontId="0" fillId="4" borderId="0" xfId="0" applyFill="1"/>
    <xf numFmtId="0" fontId="3" fillId="2" borderId="0" xfId="1" applyAlignment="1">
      <alignment horizontal="center"/>
    </xf>
    <xf numFmtId="0" fontId="3" fillId="2" borderId="0" xfId="1"/>
    <xf numFmtId="0" fontId="3" fillId="2" borderId="0" xfId="1" applyAlignment="1">
      <alignment horizontal="center" vertical="center"/>
    </xf>
    <xf numFmtId="0" fontId="1" fillId="3" borderId="1" xfId="2" applyBorder="1" applyAlignment="1">
      <alignment horizontal="center" vertical="center"/>
    </xf>
    <xf numFmtId="0" fontId="1" fillId="3" borderId="1" xfId="2" applyBorder="1" applyAlignment="1">
      <alignment horizontal="center"/>
    </xf>
    <xf numFmtId="0" fontId="1" fillId="3" borderId="1" xfId="2" applyBorder="1"/>
    <xf numFmtId="0" fontId="1" fillId="3" borderId="1" xfId="2" applyBorder="1" applyAlignment="1">
      <alignment vertical="center"/>
    </xf>
    <xf numFmtId="0" fontId="0" fillId="3" borderId="1" xfId="2" applyFont="1" applyBorder="1"/>
    <xf numFmtId="0" fontId="4" fillId="0" borderId="0" xfId="0" applyFont="1" applyAlignment="1">
      <alignment wrapText="1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0" fillId="5" borderId="0" xfId="0" applyFill="1"/>
    <xf numFmtId="0" fontId="0" fillId="6" borderId="0" xfId="0" applyFill="1"/>
    <xf numFmtId="0" fontId="2" fillId="0" borderId="0" xfId="0" applyFont="1"/>
    <xf numFmtId="0" fontId="7" fillId="0" borderId="0" xfId="0" applyFont="1"/>
    <xf numFmtId="0" fontId="8" fillId="0" borderId="0" xfId="0" applyFont="1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9" fillId="0" borderId="0" xfId="0" applyFont="1"/>
    <xf numFmtId="0" fontId="10" fillId="7" borderId="0" xfId="0" applyFont="1" applyFill="1"/>
    <xf numFmtId="0" fontId="9" fillId="7" borderId="0" xfId="0" applyFont="1" applyFill="1"/>
    <xf numFmtId="0" fontId="9" fillId="7" borderId="0" xfId="0" applyFont="1" applyFill="1" applyAlignment="1">
      <alignment vertical="center"/>
    </xf>
  </cellXfs>
  <cellStyles count="3">
    <cellStyle name="40% - Accent3" xfId="2" builtinId="39"/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43</xdr:row>
      <xdr:rowOff>144780</xdr:rowOff>
    </xdr:from>
    <xdr:to>
      <xdr:col>3</xdr:col>
      <xdr:colOff>906780</xdr:colOff>
      <xdr:row>45</xdr:row>
      <xdr:rowOff>152400</xdr:rowOff>
    </xdr:to>
    <xdr:sp macro="" textlink="">
      <xdr:nvSpPr>
        <xdr:cNvPr id="2" name="TextBox 1"/>
        <xdr:cNvSpPr txBox="1"/>
      </xdr:nvSpPr>
      <xdr:spPr>
        <a:xfrm>
          <a:off x="190500" y="7551420"/>
          <a:ext cx="2804160" cy="3733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/>
            <a:t>Performance</a:t>
          </a:r>
          <a:r>
            <a:rPr lang="en-US" sz="1800" baseline="0"/>
            <a:t> Matrix</a:t>
          </a:r>
          <a:endParaRPr lang="en-US" sz="18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5"/>
  <sheetViews>
    <sheetView tabSelected="1" topLeftCell="B88" workbookViewId="0">
      <selection activeCell="P47" sqref="P47"/>
    </sheetView>
  </sheetViews>
  <sheetFormatPr defaultRowHeight="14.4"/>
  <cols>
    <col min="1" max="1" width="12.6640625" customWidth="1"/>
    <col min="2" max="2" width="17.109375" customWidth="1"/>
    <col min="3" max="3" width="13.44140625" customWidth="1"/>
    <col min="4" max="4" width="17.33203125" customWidth="1"/>
    <col min="5" max="5" width="13.6640625" customWidth="1"/>
    <col min="6" max="6" width="14.77734375" style="1" customWidth="1"/>
    <col min="7" max="7" width="11.44140625" customWidth="1"/>
    <col min="8" max="8" width="13.109375" customWidth="1"/>
    <col min="9" max="9" width="15.5546875" customWidth="1"/>
    <col min="10" max="12" width="13.6640625" customWidth="1"/>
    <col min="13" max="13" width="11.21875" customWidth="1"/>
    <col min="14" max="14" width="18.88671875" customWidth="1"/>
  </cols>
  <sheetData>
    <row r="1" spans="1:14" s="21" customFormat="1" ht="27.6">
      <c r="A1" s="22" t="s">
        <v>110</v>
      </c>
      <c r="B1" s="23"/>
      <c r="C1" s="23"/>
      <c r="D1" s="23"/>
      <c r="E1" s="23"/>
      <c r="F1" s="24"/>
      <c r="G1" s="23"/>
      <c r="H1" s="23"/>
    </row>
    <row r="2" spans="1:14">
      <c r="A2" s="15" t="s">
        <v>6</v>
      </c>
      <c r="B2" t="s">
        <v>60</v>
      </c>
      <c r="C2" t="s">
        <v>93</v>
      </c>
      <c r="D2" s="19" t="s">
        <v>95</v>
      </c>
      <c r="E2" s="19" t="s">
        <v>61</v>
      </c>
      <c r="F2" s="20" t="s">
        <v>97</v>
      </c>
      <c r="G2" s="19" t="s">
        <v>99</v>
      </c>
      <c r="H2" s="19" t="s">
        <v>101</v>
      </c>
      <c r="I2" s="19" t="s">
        <v>102</v>
      </c>
      <c r="J2" s="19" t="s">
        <v>104</v>
      </c>
      <c r="K2" s="19" t="s">
        <v>107</v>
      </c>
    </row>
    <row r="3" spans="1:14">
      <c r="A3" s="2" t="s">
        <v>7</v>
      </c>
      <c r="B3" t="s">
        <v>60</v>
      </c>
      <c r="C3" t="s">
        <v>94</v>
      </c>
      <c r="D3" s="19" t="s">
        <v>95</v>
      </c>
      <c r="E3" s="19" t="s">
        <v>96</v>
      </c>
      <c r="F3" s="20" t="s">
        <v>98</v>
      </c>
      <c r="G3" s="19" t="s">
        <v>100</v>
      </c>
      <c r="H3" s="19" t="s">
        <v>105</v>
      </c>
      <c r="I3" s="19" t="s">
        <v>103</v>
      </c>
      <c r="J3" s="19" t="s">
        <v>106</v>
      </c>
      <c r="K3" s="19" t="s">
        <v>108</v>
      </c>
    </row>
    <row r="4" spans="1:14">
      <c r="A4" s="14" t="s">
        <v>32</v>
      </c>
      <c r="B4" t="s">
        <v>109</v>
      </c>
    </row>
    <row r="5" spans="1:14">
      <c r="A5" s="3" t="s">
        <v>0</v>
      </c>
      <c r="B5" s="4" t="s">
        <v>1</v>
      </c>
      <c r="C5" s="3" t="s">
        <v>2</v>
      </c>
      <c r="D5" s="3" t="s">
        <v>3</v>
      </c>
      <c r="E5" s="5" t="s">
        <v>4</v>
      </c>
      <c r="F5" s="5" t="s">
        <v>5</v>
      </c>
      <c r="G5" s="3" t="s">
        <v>6</v>
      </c>
      <c r="H5" s="3" t="s">
        <v>7</v>
      </c>
      <c r="I5" s="3" t="s">
        <v>32</v>
      </c>
      <c r="J5" s="3" t="s">
        <v>8</v>
      </c>
      <c r="K5" s="3"/>
      <c r="L5" s="3"/>
      <c r="M5" s="3" t="s">
        <v>9</v>
      </c>
      <c r="N5" s="3" t="s">
        <v>10</v>
      </c>
    </row>
    <row r="6" spans="1:14" ht="15" thickBot="1">
      <c r="A6" s="6">
        <v>4</v>
      </c>
      <c r="B6" s="7">
        <v>2</v>
      </c>
      <c r="C6" s="7" t="s">
        <v>11</v>
      </c>
      <c r="D6" s="10" t="s">
        <v>47</v>
      </c>
      <c r="E6" s="7">
        <v>0.1</v>
      </c>
      <c r="F6" s="6" t="s">
        <v>14</v>
      </c>
      <c r="G6" s="7" t="s">
        <v>15</v>
      </c>
      <c r="H6" s="7" t="s">
        <v>15</v>
      </c>
      <c r="I6" s="7">
        <v>0</v>
      </c>
      <c r="J6" s="7">
        <v>1</v>
      </c>
      <c r="K6" s="7"/>
      <c r="L6" s="7"/>
      <c r="M6" s="7" t="s">
        <v>12</v>
      </c>
      <c r="N6" s="7" t="s">
        <v>13</v>
      </c>
    </row>
    <row r="7" spans="1:14" ht="15" thickBot="1">
      <c r="A7" s="6">
        <v>4</v>
      </c>
      <c r="B7" s="7">
        <v>2</v>
      </c>
      <c r="C7" s="7" t="s">
        <v>11</v>
      </c>
      <c r="D7" s="10" t="s">
        <v>45</v>
      </c>
      <c r="E7" s="7">
        <v>0.2</v>
      </c>
      <c r="F7" s="6" t="s">
        <v>20</v>
      </c>
      <c r="G7" s="7" t="s">
        <v>15</v>
      </c>
      <c r="H7" s="7" t="s">
        <v>15</v>
      </c>
      <c r="I7" s="7">
        <v>0</v>
      </c>
      <c r="J7" s="7">
        <v>1</v>
      </c>
      <c r="K7" s="7"/>
      <c r="L7" s="7"/>
      <c r="M7" s="7" t="s">
        <v>12</v>
      </c>
      <c r="N7" s="7" t="s">
        <v>13</v>
      </c>
    </row>
    <row r="8" spans="1:14" ht="15" thickBot="1">
      <c r="A8" s="6">
        <v>4</v>
      </c>
      <c r="B8" s="7">
        <v>2</v>
      </c>
      <c r="C8" s="7" t="s">
        <v>11</v>
      </c>
      <c r="D8" s="10" t="s">
        <v>46</v>
      </c>
      <c r="E8" s="7">
        <v>0.3</v>
      </c>
      <c r="F8" s="6" t="s">
        <v>25</v>
      </c>
      <c r="G8" s="7" t="s">
        <v>17</v>
      </c>
      <c r="H8" s="7" t="s">
        <v>17</v>
      </c>
      <c r="I8" s="7">
        <v>0</v>
      </c>
      <c r="J8" s="7">
        <v>1</v>
      </c>
      <c r="K8" s="7"/>
      <c r="L8" s="7"/>
      <c r="M8" s="7" t="s">
        <v>12</v>
      </c>
      <c r="N8" s="7" t="s">
        <v>13</v>
      </c>
    </row>
    <row r="9" spans="1:14" ht="15" thickBot="1">
      <c r="A9" s="6">
        <v>4</v>
      </c>
      <c r="B9" s="7">
        <v>2</v>
      </c>
      <c r="C9" s="7" t="s">
        <v>11</v>
      </c>
      <c r="D9" s="10" t="s">
        <v>45</v>
      </c>
      <c r="E9" s="7">
        <v>0.4</v>
      </c>
      <c r="F9" s="6" t="s">
        <v>14</v>
      </c>
      <c r="G9" s="7" t="s">
        <v>15</v>
      </c>
      <c r="H9" s="7" t="s">
        <v>15</v>
      </c>
      <c r="I9" s="7">
        <v>0</v>
      </c>
      <c r="J9" s="7">
        <v>1</v>
      </c>
      <c r="K9" s="7"/>
      <c r="L9" s="7"/>
      <c r="M9" s="7" t="s">
        <v>12</v>
      </c>
      <c r="N9" s="7" t="s">
        <v>13</v>
      </c>
    </row>
    <row r="10" spans="1:14" ht="15" thickBot="1">
      <c r="A10" s="6">
        <v>4</v>
      </c>
      <c r="B10" s="7">
        <v>2</v>
      </c>
      <c r="C10" s="7" t="s">
        <v>11</v>
      </c>
      <c r="D10" s="10" t="s">
        <v>45</v>
      </c>
      <c r="E10" s="7">
        <v>0.5</v>
      </c>
      <c r="F10" s="6" t="s">
        <v>26</v>
      </c>
      <c r="G10" s="7" t="s">
        <v>15</v>
      </c>
      <c r="H10" s="7" t="s">
        <v>15</v>
      </c>
      <c r="I10" s="7">
        <v>0</v>
      </c>
      <c r="J10" s="7">
        <v>1</v>
      </c>
      <c r="K10" s="7"/>
      <c r="L10" s="7"/>
      <c r="M10" s="7" t="s">
        <v>12</v>
      </c>
      <c r="N10" s="7" t="s">
        <v>13</v>
      </c>
    </row>
    <row r="11" spans="1:14" ht="15" thickBot="1">
      <c r="A11" s="6">
        <v>4</v>
      </c>
      <c r="B11" s="7">
        <v>2</v>
      </c>
      <c r="C11" s="7" t="s">
        <v>11</v>
      </c>
      <c r="D11" s="10" t="s">
        <v>48</v>
      </c>
      <c r="E11" s="7">
        <v>0.6</v>
      </c>
      <c r="F11" s="6" t="s">
        <v>18</v>
      </c>
      <c r="G11" s="7" t="s">
        <v>15</v>
      </c>
      <c r="H11" s="7" t="s">
        <v>15</v>
      </c>
      <c r="I11" s="7">
        <v>0</v>
      </c>
      <c r="J11" s="7">
        <v>2</v>
      </c>
      <c r="K11" s="7"/>
      <c r="L11" s="7"/>
      <c r="M11" s="7" t="s">
        <v>12</v>
      </c>
      <c r="N11" s="7" t="s">
        <v>13</v>
      </c>
    </row>
    <row r="12" spans="1:14" ht="15" thickBot="1">
      <c r="A12" s="6">
        <v>4</v>
      </c>
      <c r="B12" s="7">
        <v>2</v>
      </c>
      <c r="C12" s="7" t="s">
        <v>11</v>
      </c>
      <c r="D12" s="10" t="s">
        <v>47</v>
      </c>
      <c r="E12" s="7">
        <v>1.1000000000000001</v>
      </c>
      <c r="F12" s="6" t="s">
        <v>26</v>
      </c>
      <c r="G12" s="7" t="s">
        <v>15</v>
      </c>
      <c r="H12" s="7" t="s">
        <v>15</v>
      </c>
      <c r="I12" s="7">
        <v>0</v>
      </c>
      <c r="J12" s="7">
        <v>2</v>
      </c>
      <c r="K12" s="7"/>
      <c r="L12" s="7"/>
      <c r="M12" s="7" t="s">
        <v>12</v>
      </c>
      <c r="N12" s="7" t="s">
        <v>13</v>
      </c>
    </row>
    <row r="13" spans="1:14" ht="15" thickBot="1">
      <c r="A13" s="6">
        <v>4</v>
      </c>
      <c r="B13" s="7">
        <v>2</v>
      </c>
      <c r="C13" s="7" t="s">
        <v>11</v>
      </c>
      <c r="D13" s="8"/>
      <c r="E13" s="7">
        <v>1.2</v>
      </c>
      <c r="F13" s="6" t="s">
        <v>19</v>
      </c>
      <c r="G13" s="7" t="s">
        <v>17</v>
      </c>
      <c r="H13" s="7" t="s">
        <v>17</v>
      </c>
      <c r="I13" s="7">
        <v>0</v>
      </c>
      <c r="J13" s="7">
        <v>2</v>
      </c>
      <c r="K13" s="7"/>
      <c r="L13" s="7"/>
      <c r="M13" s="7" t="s">
        <v>12</v>
      </c>
      <c r="N13" s="7" t="s">
        <v>13</v>
      </c>
    </row>
    <row r="14" spans="1:14" ht="15" thickBot="1">
      <c r="A14" s="6">
        <v>4</v>
      </c>
      <c r="B14" s="7">
        <v>2</v>
      </c>
      <c r="C14" s="7" t="s">
        <v>11</v>
      </c>
      <c r="D14" s="8" t="s">
        <v>31</v>
      </c>
      <c r="E14" s="7">
        <v>1.3</v>
      </c>
      <c r="F14" s="6" t="s">
        <v>20</v>
      </c>
      <c r="G14" s="7" t="s">
        <v>15</v>
      </c>
      <c r="H14" s="7" t="s">
        <v>15</v>
      </c>
      <c r="I14" s="7">
        <v>0</v>
      </c>
      <c r="J14" s="7">
        <v>2</v>
      </c>
      <c r="K14" s="7"/>
      <c r="L14" s="7"/>
      <c r="M14" s="7" t="s">
        <v>12</v>
      </c>
      <c r="N14" s="7" t="s">
        <v>13</v>
      </c>
    </row>
    <row r="15" spans="1:14" ht="15" thickBot="1">
      <c r="A15" s="6">
        <v>4</v>
      </c>
      <c r="B15" s="7">
        <v>2</v>
      </c>
      <c r="C15" s="7" t="s">
        <v>11</v>
      </c>
      <c r="D15" s="10" t="s">
        <v>45</v>
      </c>
      <c r="E15" s="7">
        <v>1.4</v>
      </c>
      <c r="F15" s="6" t="s">
        <v>21</v>
      </c>
      <c r="G15" s="7" t="s">
        <v>15</v>
      </c>
      <c r="H15" s="7" t="s">
        <v>15</v>
      </c>
      <c r="I15" s="7">
        <v>0</v>
      </c>
      <c r="J15" s="7">
        <v>2</v>
      </c>
      <c r="K15" s="7"/>
      <c r="L15" s="7"/>
      <c r="M15" s="7" t="s">
        <v>12</v>
      </c>
      <c r="N15" s="7" t="s">
        <v>13</v>
      </c>
    </row>
    <row r="16" spans="1:14" ht="15" thickBot="1">
      <c r="A16" s="6">
        <v>4</v>
      </c>
      <c r="B16" s="7">
        <v>2</v>
      </c>
      <c r="C16" s="7" t="s">
        <v>11</v>
      </c>
      <c r="D16" s="8"/>
      <c r="E16" s="7">
        <v>1.5</v>
      </c>
      <c r="F16" s="6" t="s">
        <v>22</v>
      </c>
      <c r="G16" s="7" t="s">
        <v>15</v>
      </c>
      <c r="H16" s="7" t="s">
        <v>15</v>
      </c>
      <c r="I16" s="7">
        <v>0</v>
      </c>
      <c r="J16" s="7">
        <v>2</v>
      </c>
      <c r="K16" s="7"/>
      <c r="L16" s="7"/>
      <c r="M16" s="7" t="s">
        <v>12</v>
      </c>
      <c r="N16" s="7" t="s">
        <v>13</v>
      </c>
    </row>
    <row r="17" spans="1:14" ht="15" thickBot="1">
      <c r="A17" s="6">
        <v>4</v>
      </c>
      <c r="B17" s="7">
        <v>2</v>
      </c>
      <c r="C17" s="7" t="s">
        <v>11</v>
      </c>
      <c r="D17" s="10" t="s">
        <v>45</v>
      </c>
      <c r="E17" s="7">
        <v>1.6</v>
      </c>
      <c r="F17" s="6" t="s">
        <v>21</v>
      </c>
      <c r="G17" s="7" t="s">
        <v>17</v>
      </c>
      <c r="H17" s="7"/>
      <c r="I17" s="7">
        <v>0</v>
      </c>
      <c r="J17" s="7">
        <v>2</v>
      </c>
      <c r="K17" s="7"/>
      <c r="L17" s="7"/>
      <c r="M17" s="7" t="s">
        <v>12</v>
      </c>
      <c r="N17" s="7" t="s">
        <v>13</v>
      </c>
    </row>
    <row r="18" spans="1:14" ht="15" thickBot="1">
      <c r="A18" s="6">
        <v>4</v>
      </c>
      <c r="B18" s="7">
        <v>2</v>
      </c>
      <c r="C18" s="7" t="s">
        <v>11</v>
      </c>
      <c r="D18" s="10" t="s">
        <v>47</v>
      </c>
      <c r="E18" s="7">
        <v>2.1</v>
      </c>
      <c r="F18" s="6" t="s">
        <v>20</v>
      </c>
      <c r="G18" s="7" t="s">
        <v>15</v>
      </c>
      <c r="H18" s="7" t="s">
        <v>15</v>
      </c>
      <c r="I18" s="7">
        <v>0</v>
      </c>
      <c r="J18" s="7">
        <v>3</v>
      </c>
      <c r="K18" s="7"/>
      <c r="L18" s="7"/>
      <c r="M18" s="7" t="s">
        <v>12</v>
      </c>
      <c r="N18" s="7" t="s">
        <v>13</v>
      </c>
    </row>
    <row r="19" spans="1:14" ht="15" thickBot="1">
      <c r="A19" s="6">
        <v>4</v>
      </c>
      <c r="B19" s="7">
        <v>2</v>
      </c>
      <c r="C19" s="7" t="s">
        <v>11</v>
      </c>
      <c r="D19" s="8"/>
      <c r="E19" s="7">
        <v>2.2000000000000002</v>
      </c>
      <c r="F19" s="6"/>
      <c r="G19" s="7"/>
      <c r="H19" s="7"/>
      <c r="I19" s="7">
        <v>0</v>
      </c>
      <c r="J19" s="7">
        <v>3</v>
      </c>
      <c r="K19" s="7"/>
      <c r="L19" s="7"/>
      <c r="M19" s="7" t="s">
        <v>12</v>
      </c>
      <c r="N19" s="7" t="s">
        <v>13</v>
      </c>
    </row>
    <row r="20" spans="1:14" ht="15" thickBot="1">
      <c r="A20" s="6">
        <v>4</v>
      </c>
      <c r="B20" s="7">
        <v>2</v>
      </c>
      <c r="C20" s="7" t="s">
        <v>11</v>
      </c>
      <c r="D20" s="10" t="s">
        <v>46</v>
      </c>
      <c r="E20" s="7">
        <v>2.2999999999999998</v>
      </c>
      <c r="F20" s="6" t="s">
        <v>16</v>
      </c>
      <c r="G20" s="7" t="s">
        <v>15</v>
      </c>
      <c r="H20" s="7"/>
      <c r="I20" s="7">
        <v>0</v>
      </c>
      <c r="J20" s="7">
        <v>3</v>
      </c>
      <c r="K20" s="7"/>
      <c r="L20" s="7"/>
      <c r="M20" s="7" t="s">
        <v>12</v>
      </c>
      <c r="N20" s="7" t="s">
        <v>13</v>
      </c>
    </row>
    <row r="21" spans="1:14" ht="15" thickBot="1">
      <c r="A21" s="6">
        <v>4</v>
      </c>
      <c r="B21" s="7">
        <v>2</v>
      </c>
      <c r="C21" s="7" t="s">
        <v>11</v>
      </c>
      <c r="D21" s="10" t="s">
        <v>47</v>
      </c>
      <c r="E21" s="7">
        <v>2.4</v>
      </c>
      <c r="F21" s="6" t="s">
        <v>20</v>
      </c>
      <c r="G21" s="7" t="s">
        <v>15</v>
      </c>
      <c r="H21" s="7"/>
      <c r="I21" s="7">
        <v>0</v>
      </c>
      <c r="J21" s="7">
        <v>3</v>
      </c>
      <c r="K21" s="7"/>
      <c r="L21" s="7"/>
      <c r="M21" s="7" t="s">
        <v>12</v>
      </c>
      <c r="N21" s="7" t="s">
        <v>13</v>
      </c>
    </row>
    <row r="22" spans="1:14" ht="15" thickBot="1">
      <c r="A22" s="6">
        <v>4</v>
      </c>
      <c r="B22" s="7">
        <v>2</v>
      </c>
      <c r="C22" s="7" t="s">
        <v>11</v>
      </c>
      <c r="D22" s="8"/>
      <c r="E22" s="7">
        <v>2.5</v>
      </c>
      <c r="F22" s="6"/>
      <c r="G22" s="7" t="s">
        <v>15</v>
      </c>
      <c r="H22" s="7" t="s">
        <v>15</v>
      </c>
      <c r="I22" s="7">
        <v>0</v>
      </c>
      <c r="J22" s="7">
        <v>3</v>
      </c>
      <c r="K22" s="7"/>
      <c r="L22" s="7"/>
      <c r="M22" s="7" t="s">
        <v>12</v>
      </c>
      <c r="N22" s="7" t="s">
        <v>13</v>
      </c>
    </row>
    <row r="23" spans="1:14" ht="15" thickBot="1">
      <c r="A23" s="6">
        <v>4</v>
      </c>
      <c r="B23" s="7">
        <v>2</v>
      </c>
      <c r="C23" s="7" t="s">
        <v>11</v>
      </c>
      <c r="D23" s="8" t="s">
        <v>23</v>
      </c>
      <c r="E23" s="7">
        <v>2.6</v>
      </c>
      <c r="F23" s="6" t="s">
        <v>27</v>
      </c>
      <c r="G23" s="7" t="s">
        <v>15</v>
      </c>
      <c r="H23" s="7" t="s">
        <v>15</v>
      </c>
      <c r="I23" s="7">
        <v>0</v>
      </c>
      <c r="J23" s="7">
        <v>3</v>
      </c>
      <c r="K23" s="7"/>
      <c r="L23" s="7"/>
      <c r="M23" s="7" t="s">
        <v>12</v>
      </c>
      <c r="N23" s="7" t="s">
        <v>13</v>
      </c>
    </row>
    <row r="24" spans="1:14" ht="15" thickBot="1">
      <c r="A24" s="6">
        <v>4</v>
      </c>
      <c r="B24" s="7">
        <v>2</v>
      </c>
      <c r="C24" s="7" t="s">
        <v>11</v>
      </c>
      <c r="D24" s="10" t="s">
        <v>46</v>
      </c>
      <c r="E24" s="7">
        <v>3.1</v>
      </c>
      <c r="F24" s="6" t="s">
        <v>16</v>
      </c>
      <c r="G24" s="7" t="s">
        <v>15</v>
      </c>
      <c r="H24" s="7"/>
      <c r="I24" s="7">
        <v>0</v>
      </c>
      <c r="J24" s="7">
        <v>4</v>
      </c>
      <c r="K24" s="7"/>
      <c r="L24" s="7"/>
      <c r="M24" s="7" t="s">
        <v>12</v>
      </c>
      <c r="N24" s="7" t="s">
        <v>13</v>
      </c>
    </row>
    <row r="25" spans="1:14" ht="15" thickBot="1">
      <c r="A25" s="6">
        <v>4</v>
      </c>
      <c r="B25" s="7">
        <v>2</v>
      </c>
      <c r="C25" s="7" t="s">
        <v>11</v>
      </c>
      <c r="D25" s="8"/>
      <c r="E25" s="7">
        <v>3.2</v>
      </c>
      <c r="F25" s="6"/>
      <c r="G25" s="7"/>
      <c r="H25" s="7"/>
      <c r="I25" s="7">
        <v>0</v>
      </c>
      <c r="J25" s="7">
        <v>4</v>
      </c>
      <c r="K25" s="7"/>
      <c r="L25" s="7"/>
      <c r="M25" s="7" t="s">
        <v>12</v>
      </c>
      <c r="N25" s="7" t="s">
        <v>13</v>
      </c>
    </row>
    <row r="26" spans="1:14" ht="15" thickBot="1">
      <c r="A26" s="6">
        <v>4</v>
      </c>
      <c r="B26" s="7">
        <v>2</v>
      </c>
      <c r="C26" s="7" t="s">
        <v>11</v>
      </c>
      <c r="D26" s="8"/>
      <c r="E26" s="7">
        <v>3.3</v>
      </c>
      <c r="F26" s="6"/>
      <c r="G26" s="7"/>
      <c r="H26" s="7"/>
      <c r="I26" s="7">
        <v>0</v>
      </c>
      <c r="J26" s="7">
        <v>4</v>
      </c>
      <c r="K26" s="7"/>
      <c r="L26" s="7"/>
      <c r="M26" s="7" t="s">
        <v>12</v>
      </c>
      <c r="N26" s="7" t="s">
        <v>13</v>
      </c>
    </row>
    <row r="27" spans="1:14" ht="15" thickBot="1">
      <c r="A27" s="6">
        <v>4</v>
      </c>
      <c r="B27" s="7">
        <v>2</v>
      </c>
      <c r="C27" s="7" t="s">
        <v>11</v>
      </c>
      <c r="D27" s="8"/>
      <c r="E27" s="7">
        <v>3.4</v>
      </c>
      <c r="F27" s="6"/>
      <c r="G27" s="7"/>
      <c r="H27" s="7"/>
      <c r="I27" s="7">
        <v>0</v>
      </c>
      <c r="J27" s="7">
        <v>4</v>
      </c>
      <c r="K27" s="7"/>
      <c r="L27" s="7"/>
      <c r="M27" s="7" t="s">
        <v>12</v>
      </c>
      <c r="N27" s="7" t="s">
        <v>13</v>
      </c>
    </row>
    <row r="28" spans="1:14" ht="15" thickBot="1">
      <c r="A28" s="6">
        <v>4</v>
      </c>
      <c r="B28" s="7">
        <v>2</v>
      </c>
      <c r="C28" s="7" t="s">
        <v>11</v>
      </c>
      <c r="D28" s="8"/>
      <c r="E28" s="7">
        <v>3.5</v>
      </c>
      <c r="F28" s="6"/>
      <c r="G28" s="7"/>
      <c r="H28" s="7"/>
      <c r="I28" s="7">
        <v>0</v>
      </c>
      <c r="J28" s="7">
        <v>4</v>
      </c>
      <c r="K28" s="7"/>
      <c r="L28" s="7"/>
      <c r="M28" s="7" t="s">
        <v>12</v>
      </c>
      <c r="N28" s="7" t="s">
        <v>13</v>
      </c>
    </row>
    <row r="29" spans="1:14" ht="15" thickBot="1">
      <c r="A29" s="6">
        <v>4</v>
      </c>
      <c r="B29" s="7">
        <v>2</v>
      </c>
      <c r="C29" s="7" t="s">
        <v>11</v>
      </c>
      <c r="D29" s="10" t="s">
        <v>44</v>
      </c>
      <c r="E29" s="7">
        <v>3.6</v>
      </c>
      <c r="F29" s="6" t="s">
        <v>28</v>
      </c>
      <c r="G29" s="7" t="s">
        <v>15</v>
      </c>
      <c r="H29" s="7" t="s">
        <v>15</v>
      </c>
      <c r="I29" s="7">
        <v>0</v>
      </c>
      <c r="J29" s="7">
        <v>4</v>
      </c>
      <c r="K29" s="7"/>
      <c r="L29" s="7"/>
      <c r="M29" s="7" t="s">
        <v>12</v>
      </c>
      <c r="N29" s="7" t="s">
        <v>13</v>
      </c>
    </row>
    <row r="30" spans="1:14" ht="15" thickBot="1">
      <c r="A30" s="6">
        <v>4</v>
      </c>
      <c r="B30" s="7">
        <v>2</v>
      </c>
      <c r="C30" s="7" t="s">
        <v>11</v>
      </c>
      <c r="D30" s="8"/>
      <c r="E30" s="7">
        <v>4.0999999999999996</v>
      </c>
      <c r="F30" s="6"/>
      <c r="G30" s="7"/>
      <c r="H30" s="7"/>
      <c r="I30" s="7">
        <v>0</v>
      </c>
      <c r="J30" s="7">
        <v>5</v>
      </c>
      <c r="K30" s="7"/>
      <c r="L30" s="7"/>
      <c r="M30" s="7" t="s">
        <v>12</v>
      </c>
      <c r="N30" s="7" t="s">
        <v>13</v>
      </c>
    </row>
    <row r="31" spans="1:14" ht="15" thickBot="1">
      <c r="A31" s="6">
        <v>4</v>
      </c>
      <c r="B31" s="7">
        <v>2</v>
      </c>
      <c r="C31" s="7" t="s">
        <v>11</v>
      </c>
      <c r="D31" s="8"/>
      <c r="E31" s="7">
        <v>4.2</v>
      </c>
      <c r="F31" s="6"/>
      <c r="G31" s="7"/>
      <c r="H31" s="7"/>
      <c r="I31" s="7">
        <v>0</v>
      </c>
      <c r="J31" s="7">
        <v>5</v>
      </c>
      <c r="K31" s="7"/>
      <c r="L31" s="7"/>
      <c r="M31" s="7" t="s">
        <v>12</v>
      </c>
      <c r="N31" s="7" t="s">
        <v>13</v>
      </c>
    </row>
    <row r="32" spans="1:14" ht="15" thickBot="1">
      <c r="A32" s="6">
        <v>4</v>
      </c>
      <c r="B32" s="7">
        <v>2</v>
      </c>
      <c r="C32" s="7" t="s">
        <v>11</v>
      </c>
      <c r="D32" s="10" t="s">
        <v>47</v>
      </c>
      <c r="E32" s="7">
        <v>4.3</v>
      </c>
      <c r="F32" s="6" t="s">
        <v>24</v>
      </c>
      <c r="G32" s="7" t="s">
        <v>15</v>
      </c>
      <c r="H32" s="7"/>
      <c r="I32" s="7">
        <v>0</v>
      </c>
      <c r="J32" s="7">
        <v>5</v>
      </c>
      <c r="K32" s="7"/>
      <c r="L32" s="7"/>
      <c r="M32" s="7" t="s">
        <v>12</v>
      </c>
      <c r="N32" s="7" t="s">
        <v>13</v>
      </c>
    </row>
    <row r="33" spans="1:14" ht="15" thickBot="1">
      <c r="A33" s="6">
        <v>4</v>
      </c>
      <c r="B33" s="7">
        <v>2</v>
      </c>
      <c r="C33" s="7" t="s">
        <v>11</v>
      </c>
      <c r="D33" s="10" t="s">
        <v>46</v>
      </c>
      <c r="E33" s="7">
        <v>4.4000000000000004</v>
      </c>
      <c r="F33" s="6" t="s">
        <v>16</v>
      </c>
      <c r="G33" s="7" t="s">
        <v>15</v>
      </c>
      <c r="H33" s="7"/>
      <c r="I33" s="7">
        <v>0</v>
      </c>
      <c r="J33" s="7">
        <v>5</v>
      </c>
      <c r="K33" s="7"/>
      <c r="L33" s="7"/>
      <c r="M33" s="7" t="s">
        <v>12</v>
      </c>
      <c r="N33" s="7" t="s">
        <v>13</v>
      </c>
    </row>
    <row r="34" spans="1:14" ht="15" thickBot="1">
      <c r="A34" s="6">
        <v>4</v>
      </c>
      <c r="B34" s="7">
        <v>2</v>
      </c>
      <c r="C34" s="7" t="s">
        <v>11</v>
      </c>
      <c r="D34" s="8"/>
      <c r="E34" s="7">
        <v>4.5</v>
      </c>
      <c r="F34" s="6"/>
      <c r="G34" s="7"/>
      <c r="H34" s="8"/>
      <c r="I34" s="7">
        <v>0</v>
      </c>
      <c r="J34" s="7">
        <v>5</v>
      </c>
      <c r="K34" s="7"/>
      <c r="L34" s="7"/>
      <c r="M34" s="7" t="s">
        <v>12</v>
      </c>
      <c r="N34" s="7" t="s">
        <v>13</v>
      </c>
    </row>
    <row r="35" spans="1:14" ht="15" thickBot="1">
      <c r="A35" s="6">
        <v>4</v>
      </c>
      <c r="B35" s="7">
        <v>2</v>
      </c>
      <c r="C35" s="7" t="s">
        <v>11</v>
      </c>
      <c r="D35" s="8"/>
      <c r="E35" s="7">
        <v>4.5999999999999996</v>
      </c>
      <c r="F35" s="6"/>
      <c r="G35" s="7"/>
      <c r="H35" s="7"/>
      <c r="I35" s="7">
        <v>0</v>
      </c>
      <c r="J35" s="7">
        <v>5</v>
      </c>
      <c r="K35" s="7"/>
      <c r="L35" s="7"/>
      <c r="M35" s="7" t="s">
        <v>12</v>
      </c>
      <c r="N35" s="7" t="s">
        <v>13</v>
      </c>
    </row>
    <row r="36" spans="1:14" ht="15" thickBot="1">
      <c r="A36" s="6">
        <v>4</v>
      </c>
      <c r="B36" s="7">
        <v>2</v>
      </c>
      <c r="C36" s="7" t="s">
        <v>11</v>
      </c>
      <c r="D36" s="10" t="s">
        <v>43</v>
      </c>
      <c r="E36" s="7">
        <v>5.0999999999999996</v>
      </c>
      <c r="F36" s="6" t="s">
        <v>24</v>
      </c>
      <c r="G36" s="7" t="s">
        <v>15</v>
      </c>
      <c r="H36" s="7" t="s">
        <v>15</v>
      </c>
      <c r="I36" s="7">
        <v>0</v>
      </c>
      <c r="J36" s="7">
        <v>6</v>
      </c>
      <c r="K36" s="7"/>
      <c r="L36" s="7"/>
      <c r="M36" s="7" t="s">
        <v>12</v>
      </c>
      <c r="N36" s="7" t="s">
        <v>13</v>
      </c>
    </row>
    <row r="37" spans="1:14" ht="15" thickBot="1">
      <c r="A37" s="6">
        <v>4</v>
      </c>
      <c r="B37" s="7">
        <v>2</v>
      </c>
      <c r="C37" s="7" t="s">
        <v>11</v>
      </c>
      <c r="D37" s="10" t="s">
        <v>45</v>
      </c>
      <c r="E37" s="7">
        <v>5.2</v>
      </c>
      <c r="F37" s="6" t="s">
        <v>29</v>
      </c>
      <c r="G37" s="7" t="s">
        <v>15</v>
      </c>
      <c r="H37" s="7" t="s">
        <v>15</v>
      </c>
      <c r="I37" s="7">
        <v>0</v>
      </c>
      <c r="J37" s="7">
        <v>6</v>
      </c>
      <c r="K37" s="7"/>
      <c r="L37" s="7"/>
      <c r="M37" s="7" t="s">
        <v>12</v>
      </c>
      <c r="N37" s="7" t="s">
        <v>13</v>
      </c>
    </row>
    <row r="38" spans="1:14" ht="15" thickBot="1">
      <c r="A38" s="6">
        <v>4</v>
      </c>
      <c r="B38" s="7">
        <v>2</v>
      </c>
      <c r="C38" s="7" t="s">
        <v>11</v>
      </c>
      <c r="D38" s="10" t="s">
        <v>44</v>
      </c>
      <c r="E38" s="7">
        <v>5.3</v>
      </c>
      <c r="F38" s="6" t="s">
        <v>14</v>
      </c>
      <c r="G38" s="7" t="s">
        <v>15</v>
      </c>
      <c r="H38" s="8"/>
      <c r="I38" s="7">
        <v>0</v>
      </c>
      <c r="J38" s="7">
        <v>6</v>
      </c>
      <c r="K38" s="7"/>
      <c r="L38" s="7"/>
      <c r="M38" s="7" t="s">
        <v>12</v>
      </c>
      <c r="N38" s="7" t="s">
        <v>13</v>
      </c>
    </row>
    <row r="39" spans="1:14" ht="15" thickBot="1">
      <c r="A39" s="6">
        <v>4</v>
      </c>
      <c r="B39" s="7">
        <v>2</v>
      </c>
      <c r="C39" s="7" t="s">
        <v>11</v>
      </c>
      <c r="D39" s="10" t="s">
        <v>43</v>
      </c>
      <c r="E39" s="7">
        <v>5.4</v>
      </c>
      <c r="F39" s="6" t="s">
        <v>26</v>
      </c>
      <c r="G39" s="7" t="s">
        <v>15</v>
      </c>
      <c r="H39" s="7" t="s">
        <v>15</v>
      </c>
      <c r="I39" s="7">
        <v>0</v>
      </c>
      <c r="J39" s="7">
        <v>6</v>
      </c>
      <c r="K39" s="7"/>
      <c r="L39" s="7"/>
      <c r="M39" s="7" t="s">
        <v>12</v>
      </c>
      <c r="N39" s="7" t="s">
        <v>13</v>
      </c>
    </row>
    <row r="40" spans="1:14" ht="15" thickBot="1">
      <c r="A40" s="6">
        <v>4</v>
      </c>
      <c r="B40" s="7">
        <v>2</v>
      </c>
      <c r="C40" s="7" t="s">
        <v>11</v>
      </c>
      <c r="D40" s="8"/>
      <c r="E40" s="7">
        <v>5.5</v>
      </c>
      <c r="F40" s="9"/>
      <c r="G40" s="8"/>
      <c r="H40" s="8"/>
      <c r="I40" s="7">
        <v>0</v>
      </c>
      <c r="J40" s="7">
        <v>6</v>
      </c>
      <c r="K40" s="7"/>
      <c r="L40" s="7"/>
      <c r="M40" s="7" t="s">
        <v>12</v>
      </c>
      <c r="N40" s="7" t="s">
        <v>13</v>
      </c>
    </row>
    <row r="41" spans="1:14" ht="15" thickBot="1">
      <c r="A41" s="6">
        <v>4</v>
      </c>
      <c r="B41" s="7">
        <v>2</v>
      </c>
      <c r="C41" s="7" t="s">
        <v>11</v>
      </c>
      <c r="D41" s="10" t="s">
        <v>43</v>
      </c>
      <c r="E41" s="7">
        <v>5.6</v>
      </c>
      <c r="F41" s="9" t="s">
        <v>30</v>
      </c>
      <c r="G41" s="7" t="s">
        <v>15</v>
      </c>
      <c r="H41" s="7" t="s">
        <v>15</v>
      </c>
      <c r="I41" s="7">
        <v>0</v>
      </c>
      <c r="J41" s="7">
        <v>6</v>
      </c>
      <c r="K41" s="7"/>
      <c r="L41" s="7"/>
      <c r="M41" s="7" t="s">
        <v>12</v>
      </c>
      <c r="N41" s="7" t="s">
        <v>13</v>
      </c>
    </row>
    <row r="42" spans="1:14">
      <c r="F42"/>
    </row>
    <row r="43" spans="1:14">
      <c r="F43"/>
    </row>
    <row r="44" spans="1:14">
      <c r="F44"/>
    </row>
    <row r="45" spans="1:14">
      <c r="F45"/>
    </row>
    <row r="46" spans="1:14">
      <c r="F46"/>
    </row>
    <row r="47" spans="1:14">
      <c r="F47"/>
    </row>
    <row r="48" spans="1:14">
      <c r="B48" t="s">
        <v>3</v>
      </c>
      <c r="C48" t="s">
        <v>33</v>
      </c>
      <c r="D48" t="s">
        <v>34</v>
      </c>
      <c r="E48" t="s">
        <v>35</v>
      </c>
      <c r="F48" t="s">
        <v>36</v>
      </c>
      <c r="G48" t="s">
        <v>37</v>
      </c>
      <c r="H48" t="s">
        <v>38</v>
      </c>
      <c r="I48" t="s">
        <v>39</v>
      </c>
      <c r="J48" t="s">
        <v>40</v>
      </c>
      <c r="K48" t="s">
        <v>62</v>
      </c>
      <c r="L48" t="s">
        <v>61</v>
      </c>
      <c r="M48" t="s">
        <v>41</v>
      </c>
      <c r="N48" t="s">
        <v>42</v>
      </c>
    </row>
    <row r="49" spans="2:14">
      <c r="B49" t="s">
        <v>48</v>
      </c>
      <c r="C49">
        <v>1</v>
      </c>
      <c r="D49">
        <v>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f>C49+D49+(E49*3)-(F49*3)+(G49*3)+(H49*3)-(I49*2)+(J49*2)-K49-L49+M49</f>
        <v>2</v>
      </c>
    </row>
    <row r="50" spans="2:14">
      <c r="B50" t="s">
        <v>49</v>
      </c>
      <c r="C50">
        <v>1</v>
      </c>
      <c r="D50">
        <v>1</v>
      </c>
      <c r="E50">
        <v>0</v>
      </c>
      <c r="F50">
        <v>0</v>
      </c>
      <c r="G50">
        <v>0</v>
      </c>
      <c r="H50">
        <v>0</v>
      </c>
      <c r="I50">
        <v>0</v>
      </c>
      <c r="J50">
        <v>1</v>
      </c>
      <c r="K50">
        <v>0</v>
      </c>
      <c r="L50">
        <v>0</v>
      </c>
      <c r="M50">
        <v>0</v>
      </c>
      <c r="N50">
        <f t="shared" ref="N50:N56" si="0">C50+D50+(E50*3)-(F50*3)+(G50*3)+(H50*3)-(I50*2)+(J50*2)-K50-L50+M50</f>
        <v>4</v>
      </c>
    </row>
    <row r="51" spans="2:14">
      <c r="B51" t="s">
        <v>31</v>
      </c>
      <c r="C51">
        <v>1</v>
      </c>
      <c r="D51">
        <v>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f t="shared" si="0"/>
        <v>2</v>
      </c>
    </row>
    <row r="52" spans="2:14">
      <c r="B52" t="s">
        <v>44</v>
      </c>
      <c r="C52">
        <v>2</v>
      </c>
      <c r="D52">
        <v>2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</v>
      </c>
      <c r="N52">
        <f t="shared" si="0"/>
        <v>6</v>
      </c>
    </row>
    <row r="53" spans="2:14">
      <c r="B53" t="s">
        <v>47</v>
      </c>
      <c r="C53">
        <v>5</v>
      </c>
      <c r="D53">
        <v>3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2</v>
      </c>
      <c r="N53">
        <f t="shared" si="0"/>
        <v>10</v>
      </c>
    </row>
    <row r="54" spans="2:14">
      <c r="B54" t="s">
        <v>46</v>
      </c>
      <c r="C54">
        <v>3</v>
      </c>
      <c r="D54">
        <v>0</v>
      </c>
      <c r="E54">
        <v>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f t="shared" si="0"/>
        <v>6</v>
      </c>
    </row>
    <row r="55" spans="2:14">
      <c r="B55" t="s">
        <v>43</v>
      </c>
      <c r="C55">
        <v>3</v>
      </c>
      <c r="D55">
        <v>2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f t="shared" si="0"/>
        <v>5</v>
      </c>
    </row>
    <row r="56" spans="2:14">
      <c r="B56" t="s">
        <v>45</v>
      </c>
      <c r="C56">
        <v>5</v>
      </c>
      <c r="D56">
        <v>3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1</v>
      </c>
      <c r="L56">
        <v>1</v>
      </c>
      <c r="M56">
        <v>0</v>
      </c>
      <c r="N56">
        <f t="shared" si="0"/>
        <v>6</v>
      </c>
    </row>
    <row r="57" spans="2:14">
      <c r="F57"/>
    </row>
    <row r="58" spans="2:14" ht="21.6">
      <c r="B58" s="11"/>
      <c r="C58" s="17" t="s">
        <v>65</v>
      </c>
      <c r="D58" s="18"/>
      <c r="E58" s="18"/>
      <c r="F58" s="18"/>
      <c r="G58" s="18"/>
      <c r="H58" s="18"/>
      <c r="I58" s="17"/>
      <c r="J58" s="16"/>
    </row>
    <row r="59" spans="2:14">
      <c r="F59"/>
    </row>
    <row r="60" spans="2:14" ht="17.399999999999999">
      <c r="C60" s="11"/>
      <c r="D60" s="12" t="s">
        <v>50</v>
      </c>
      <c r="E60" s="11"/>
      <c r="F60"/>
    </row>
    <row r="61" spans="2:14">
      <c r="C61" s="11"/>
      <c r="D61" s="13"/>
      <c r="E61" s="11"/>
      <c r="F61"/>
    </row>
    <row r="62" spans="2:14">
      <c r="C62" s="11"/>
      <c r="D62" s="12" t="s">
        <v>51</v>
      </c>
      <c r="E62" s="11"/>
      <c r="F62"/>
    </row>
    <row r="63" spans="2:14">
      <c r="C63" s="11"/>
      <c r="D63" s="12" t="s">
        <v>52</v>
      </c>
      <c r="E63" s="11"/>
      <c r="F63"/>
    </row>
    <row r="64" spans="2:14">
      <c r="C64" s="11"/>
      <c r="D64" s="12" t="s">
        <v>53</v>
      </c>
      <c r="E64" s="11"/>
      <c r="F64"/>
    </row>
    <row r="65" spans="2:6">
      <c r="C65" s="11"/>
      <c r="D65" s="12" t="s">
        <v>54</v>
      </c>
      <c r="E65" s="11"/>
      <c r="F65"/>
    </row>
    <row r="66" spans="2:6">
      <c r="C66" s="11"/>
      <c r="D66" s="12" t="s">
        <v>55</v>
      </c>
      <c r="E66" s="11"/>
      <c r="F66"/>
    </row>
    <row r="67" spans="2:6">
      <c r="C67" s="11"/>
      <c r="D67" s="12" t="s">
        <v>56</v>
      </c>
      <c r="E67" s="11"/>
      <c r="F67"/>
    </row>
    <row r="68" spans="2:6">
      <c r="C68" s="11"/>
      <c r="D68" s="12" t="s">
        <v>57</v>
      </c>
      <c r="E68" s="11"/>
      <c r="F68"/>
    </row>
    <row r="69" spans="2:6">
      <c r="C69" s="11"/>
      <c r="D69" s="12" t="s">
        <v>58</v>
      </c>
      <c r="E69" s="11"/>
      <c r="F69"/>
    </row>
    <row r="70" spans="2:6">
      <c r="C70" s="11"/>
      <c r="D70" s="12" t="s">
        <v>59</v>
      </c>
      <c r="E70" s="11"/>
      <c r="F70"/>
    </row>
    <row r="71" spans="2:6">
      <c r="D71" s="12" t="s">
        <v>63</v>
      </c>
      <c r="F71"/>
    </row>
    <row r="72" spans="2:6">
      <c r="D72" s="12" t="s">
        <v>64</v>
      </c>
      <c r="F72"/>
    </row>
    <row r="73" spans="2:6">
      <c r="F73"/>
    </row>
    <row r="74" spans="2:6">
      <c r="F74"/>
    </row>
    <row r="75" spans="2:6">
      <c r="B75" t="s">
        <v>66</v>
      </c>
      <c r="C75" s="16" t="s">
        <v>67</v>
      </c>
      <c r="F75"/>
    </row>
    <row r="76" spans="2:6">
      <c r="C76" s="16" t="s">
        <v>68</v>
      </c>
      <c r="F76"/>
    </row>
    <row r="77" spans="2:6">
      <c r="C77" s="16" t="s">
        <v>69</v>
      </c>
      <c r="F77"/>
    </row>
    <row r="78" spans="2:6">
      <c r="F78"/>
    </row>
    <row r="79" spans="2:6">
      <c r="B79" t="s">
        <v>70</v>
      </c>
      <c r="C79" s="16" t="s">
        <v>71</v>
      </c>
      <c r="F79"/>
    </row>
    <row r="80" spans="2:6">
      <c r="C80" s="16" t="s">
        <v>72</v>
      </c>
      <c r="F80"/>
    </row>
    <row r="81" spans="2:6">
      <c r="C81" s="16" t="s">
        <v>73</v>
      </c>
      <c r="F81"/>
    </row>
    <row r="82" spans="2:6">
      <c r="F82"/>
    </row>
    <row r="83" spans="2:6">
      <c r="B83" t="s">
        <v>74</v>
      </c>
      <c r="C83" s="16" t="s">
        <v>67</v>
      </c>
      <c r="F83"/>
    </row>
    <row r="84" spans="2:6">
      <c r="C84" s="16" t="s">
        <v>68</v>
      </c>
      <c r="F84"/>
    </row>
    <row r="85" spans="2:6">
      <c r="C85" s="16" t="s">
        <v>69</v>
      </c>
      <c r="F85"/>
    </row>
    <row r="86" spans="2:6">
      <c r="F86"/>
    </row>
    <row r="87" spans="2:6">
      <c r="B87" t="s">
        <v>75</v>
      </c>
      <c r="C87" s="16" t="s">
        <v>76</v>
      </c>
      <c r="F87"/>
    </row>
    <row r="88" spans="2:6">
      <c r="C88" s="16" t="s">
        <v>77</v>
      </c>
      <c r="F88"/>
    </row>
    <row r="89" spans="2:6">
      <c r="C89" s="16" t="s">
        <v>78</v>
      </c>
      <c r="F89"/>
    </row>
    <row r="90" spans="2:6">
      <c r="C90" s="16"/>
      <c r="F90"/>
    </row>
    <row r="91" spans="2:6">
      <c r="B91" t="s">
        <v>79</v>
      </c>
      <c r="C91" s="16" t="s">
        <v>80</v>
      </c>
      <c r="F91"/>
    </row>
    <row r="92" spans="2:6">
      <c r="C92" s="16" t="s">
        <v>81</v>
      </c>
      <c r="F92"/>
    </row>
    <row r="93" spans="2:6">
      <c r="C93" s="16" t="s">
        <v>82</v>
      </c>
      <c r="F93"/>
    </row>
    <row r="94" spans="2:6">
      <c r="F94"/>
    </row>
    <row r="95" spans="2:6">
      <c r="B95" t="s">
        <v>83</v>
      </c>
      <c r="C95" s="16" t="s">
        <v>84</v>
      </c>
      <c r="F95"/>
    </row>
    <row r="96" spans="2:6">
      <c r="C96" s="16" t="s">
        <v>85</v>
      </c>
      <c r="F96"/>
    </row>
    <row r="97" spans="2:6">
      <c r="C97" s="16" t="s">
        <v>78</v>
      </c>
      <c r="F97"/>
    </row>
    <row r="98" spans="2:6">
      <c r="F98"/>
    </row>
    <row r="99" spans="2:6">
      <c r="B99" t="s">
        <v>43</v>
      </c>
      <c r="C99" s="16" t="s">
        <v>86</v>
      </c>
      <c r="F99"/>
    </row>
    <row r="100" spans="2:6">
      <c r="C100" s="16" t="s">
        <v>87</v>
      </c>
      <c r="F100"/>
    </row>
    <row r="101" spans="2:6">
      <c r="C101" s="16" t="s">
        <v>88</v>
      </c>
      <c r="F101"/>
    </row>
    <row r="102" spans="2:6">
      <c r="F102"/>
    </row>
    <row r="103" spans="2:6">
      <c r="B103" t="s">
        <v>89</v>
      </c>
      <c r="C103" s="16" t="s">
        <v>90</v>
      </c>
      <c r="F103"/>
    </row>
    <row r="104" spans="2:6">
      <c r="C104" s="16" t="s">
        <v>91</v>
      </c>
      <c r="F104"/>
    </row>
    <row r="105" spans="2:6">
      <c r="C105" s="16" t="s">
        <v>92</v>
      </c>
      <c r="F105"/>
    </row>
    <row r="106" spans="2:6">
      <c r="F106"/>
    </row>
    <row r="107" spans="2:6">
      <c r="F107"/>
    </row>
    <row r="108" spans="2:6">
      <c r="F108"/>
    </row>
    <row r="109" spans="2:6">
      <c r="F109"/>
    </row>
    <row r="110" spans="2:6">
      <c r="F110"/>
    </row>
    <row r="111" spans="2:6">
      <c r="F111"/>
    </row>
    <row r="112" spans="2:6">
      <c r="F112"/>
    </row>
    <row r="113" spans="6:6">
      <c r="F113"/>
    </row>
    <row r="114" spans="6:6">
      <c r="F114"/>
    </row>
    <row r="115" spans="6:6">
      <c r="F115"/>
    </row>
    <row r="116" spans="6:6">
      <c r="F116"/>
    </row>
    <row r="117" spans="6:6">
      <c r="F117"/>
    </row>
    <row r="118" spans="6:6">
      <c r="F118"/>
    </row>
    <row r="119" spans="6:6">
      <c r="F119"/>
    </row>
    <row r="120" spans="6:6">
      <c r="F120"/>
    </row>
    <row r="121" spans="6:6">
      <c r="F121"/>
    </row>
    <row r="122" spans="6:6">
      <c r="F122"/>
    </row>
    <row r="123" spans="6:6">
      <c r="F123"/>
    </row>
    <row r="124" spans="6:6">
      <c r="F124"/>
    </row>
    <row r="125" spans="6:6">
      <c r="F125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Aryank Pathak</dc:creator>
  <cp:lastModifiedBy>Aryank Pathak</cp:lastModifiedBy>
  <dcterms:created xsi:type="dcterms:W3CDTF">2026-07-09T17:06:11Z</dcterms:created>
  <dcterms:modified xsi:type="dcterms:W3CDTF">2026-07-12T15:50:38Z</dcterms:modified>
</cp:coreProperties>
</file>